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phamdao/Library/Mobile Documents/com~apple~CloudDocs/Documents/CNTT1/NHẬP MÔN CÔNG NGHỆ THÔNG TIN/"/>
    </mc:Choice>
  </mc:AlternateContent>
  <xr:revisionPtr revIDLastSave="0" documentId="8_{BEA8AC71-9FFD-C443-90A1-3C40336E7F40}" xr6:coauthVersionLast="47" xr6:coauthVersionMax="47" xr10:uidLastSave="{00000000-0000-0000-0000-000000000000}"/>
  <bookViews>
    <workbookView xWindow="4480" yWindow="600" windowWidth="31360" windowHeight="20600" xr2:uid="{00000000-000D-0000-FFFF-FFFF00000000}"/>
  </bookViews>
  <sheets>
    <sheet name="Huong_dan" sheetId="1" r:id="rId1"/>
    <sheet name="Du_lieu" sheetId="2" r:id="rId2"/>
    <sheet name="Thong_ke" sheetId="3" r:id="rId3"/>
    <sheet name="Dashboard" sheetId="4" r:id="rId4"/>
  </sheets>
  <definedNames>
    <definedName name="_xlnm._FilterDatabase" localSheetId="1" hidden="1">Du_lieu!$A$3:$Q$23</definedName>
  </definedName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5" i="4" l="1"/>
  <c r="A5" i="4"/>
  <c r="D11" i="3"/>
  <c r="L3" i="4" s="1"/>
  <c r="C11" i="3"/>
  <c r="K3" i="4" s="1"/>
  <c r="D10" i="3"/>
  <c r="C10" i="3"/>
  <c r="D9" i="3"/>
  <c r="G5" i="4" s="1"/>
  <c r="C9" i="3"/>
  <c r="D8" i="3"/>
  <c r="L2" i="4" s="1"/>
  <c r="C8" i="3"/>
  <c r="K2" i="4" s="1"/>
  <c r="D7" i="3"/>
  <c r="C7" i="3"/>
  <c r="D6" i="3"/>
  <c r="C6" i="3"/>
  <c r="D5" i="3"/>
  <c r="E5" i="4" s="1"/>
  <c r="C5" i="3"/>
  <c r="F9" i="3" l="1"/>
  <c r="F6" i="3"/>
  <c r="F10" i="3"/>
  <c r="E6" i="3"/>
  <c r="H9" i="3"/>
  <c r="H10" i="3"/>
  <c r="E10" i="3"/>
  <c r="H6" i="3"/>
  <c r="E7" i="3"/>
  <c r="H5" i="3"/>
  <c r="E11" i="3"/>
  <c r="E8" i="3"/>
  <c r="F11" i="3"/>
  <c r="E5" i="3"/>
  <c r="F8" i="3"/>
  <c r="H11" i="3"/>
  <c r="F5" i="3"/>
  <c r="H8" i="3"/>
  <c r="F7" i="3"/>
  <c r="H7" i="3"/>
  <c r="E9" i="3"/>
</calcChain>
</file>

<file path=xl/sharedStrings.xml><?xml version="1.0" encoding="utf-8"?>
<sst xmlns="http://schemas.openxmlformats.org/spreadsheetml/2006/main" count="149" uniqueCount="104">
  <si>
    <t>BẢNG TÍNH THỐNG KÊ HIỆU QUẢ ỨNG DỤNG SỨC KHỎE</t>
  </si>
  <si>
    <t>Lớp</t>
  </si>
  <si>
    <t>HCM-KS26-CNTT1</t>
  </si>
  <si>
    <t>Mục đích</t>
  </si>
  <si>
    <t>Dữ liệu giả lập để minh họa cách so sánh các chỉ số trước và sau khi dùng ứng dụng.</t>
  </si>
  <si>
    <t>Du_lieu</t>
  </si>
  <si>
    <t>20 người dùng giả lập; mỗi người có số liệu TRƯỚC và SAU.</t>
  </si>
  <si>
    <t>Thong_ke</t>
  </si>
  <si>
    <t>Tự động tính trung bình, chênh lệch và tỷ lệ thay đổi bằng công thức Excel.</t>
  </si>
  <si>
    <t>Dashboard</t>
  </si>
  <si>
    <t>Biểu đồ trực quan so sánh các chỉ số trước – sau.</t>
  </si>
  <si>
    <t>Cách cập nhật</t>
  </si>
  <si>
    <t>Sửa các ô dữ liệu ở sheet Du_lieu; bảng Thong_ke và Dashboard sẽ cập nhật khi Excel tính lại.</t>
  </si>
  <si>
    <t>Lưu ý diễn giải</t>
  </si>
  <si>
    <t>Đây là dữ liệu mô phỏng, không phải khảo sát thật; không dùng để kết luận hiệu quả y tế thực tế.</t>
  </si>
  <si>
    <t>Quy ước</t>
  </si>
  <si>
    <t>• Giờ ngủ: càng tăng về mức phù hợp càng tốt; mục tiêu tham khảo 7–9 giờ/ngày.</t>
  </si>
  <si>
    <t>• Vận động: phút hoạt động thể chất mỗi tuần; cao hơn thường tốt hơn trong phạm vi hợp lý.</t>
  </si>
  <si>
    <t>• Nước: lít/ngày, chỉ số tham khảo để mô phỏng, nhu cầu thực tế tùy từng người.</t>
  </si>
  <si>
    <t>• Bữa ăn cân bằng: tỷ lệ (%) bữa ăn đáp ứng tiêu chí cân bằng do dự án giả định.</t>
  </si>
  <si>
    <t>• Căng thẳng: thang tự đánh giá 1–10; giảm là tốt hơn.</t>
  </si>
  <si>
    <t>• Chi tiêu không cần thiết: nghìn đồng/tuần; giảm có thể phản ánh quản lý chi tiêu tốt hơn.</t>
  </si>
  <si>
    <t>• Thời gian hoàn thành kế hoạch: tỷ lệ (%) công việc/ngày hoàn thành theo kế hoạch; tăng là tốt hơn.</t>
  </si>
  <si>
    <t>DỮ LIỆU GIẢ LẬP – TRƯỚC VÀ SAU KHI SỬ DỤNG ỨNG DỤNG</t>
  </si>
  <si>
    <t>Mã người dùng</t>
  </si>
  <si>
    <t>Ghi chú</t>
  </si>
  <si>
    <t>Nhóm dữ liệu</t>
  </si>
  <si>
    <t>U01</t>
  </si>
  <si>
    <t>Dữ liệu mô phỏng</t>
  </si>
  <si>
    <t>Giả lập</t>
  </si>
  <si>
    <t>U02</t>
  </si>
  <si>
    <t>U03</t>
  </si>
  <si>
    <t>U04</t>
  </si>
  <si>
    <t>U05</t>
  </si>
  <si>
    <t>U06</t>
  </si>
  <si>
    <t>U07</t>
  </si>
  <si>
    <t>U08</t>
  </si>
  <si>
    <t>U09</t>
  </si>
  <si>
    <t>U10</t>
  </si>
  <si>
    <t>U11</t>
  </si>
  <si>
    <t>U12</t>
  </si>
  <si>
    <t>U13</t>
  </si>
  <si>
    <t>U14</t>
  </si>
  <si>
    <t>U15</t>
  </si>
  <si>
    <t>U16</t>
  </si>
  <si>
    <t>U17</t>
  </si>
  <si>
    <t>U18</t>
  </si>
  <si>
    <t>U19</t>
  </si>
  <si>
    <t>U20</t>
  </si>
  <si>
    <t>THỐNG KÊ TỰ ĐỘNG – SO SÁNH TRƯỚC VÀ SAU</t>
  </si>
  <si>
    <t>Các kết quả được tính từ 20 dòng dữ liệu ở sheet Du_lieu. Thay đổi dữ liệu nguồn để cập nhật.</t>
  </si>
  <si>
    <t>Chỉ số</t>
  </si>
  <si>
    <t>Đơn vị</t>
  </si>
  <si>
    <t>Trung bình trước</t>
  </si>
  <si>
    <t>Trung bình sau</t>
  </si>
  <si>
    <t>Chênh lệch (sau-trước)</t>
  </si>
  <si>
    <t>Thay đổi (%)</t>
  </si>
  <si>
    <t>Hướng mong muốn</t>
  </si>
  <si>
    <t>Diễn giải tự động</t>
  </si>
  <si>
    <t>Thời lượng ngủ</t>
  </si>
  <si>
    <t>giờ/ngày</t>
  </si>
  <si>
    <t>Tăng đến mức phù hợp</t>
  </si>
  <si>
    <t>Vận động thể chất</t>
  </si>
  <si>
    <t>phút/tuần</t>
  </si>
  <si>
    <t>Tăng</t>
  </si>
  <si>
    <t>Lượng nước uống</t>
  </si>
  <si>
    <t>lít/ngày</t>
  </si>
  <si>
    <t>Tăng phù hợp nhu cầu</t>
  </si>
  <si>
    <t>Bữa ăn cân bằng</t>
  </si>
  <si>
    <t>%</t>
  </si>
  <si>
    <t>Mức độ căng thẳng</t>
  </si>
  <si>
    <t>điểm 1–10</t>
  </si>
  <si>
    <t>Giảm</t>
  </si>
  <si>
    <t>Chi tiêu không cần thiết</t>
  </si>
  <si>
    <t>nghìn đồng/tuần</t>
  </si>
  <si>
    <t>Hoàn thành kế hoạch</t>
  </si>
  <si>
    <t>Cách hiểu tỷ lệ thay đổi</t>
  </si>
  <si>
    <t>Với chỉ số nên giảm (căng thẳng, chi tiêu không cần thiết), tỷ lệ âm có thể là tín hiệu tốt. Hãy đọc cùng cột “Hướng mong muốn” và “Diễn giải tự động”, không kết luận chỉ từ dấu +/−.</t>
  </si>
  <si>
    <t>DASHBOARD – HIỆU QUẢ MÔ PHỎNG CỦA ỨNG DỤNG</t>
  </si>
  <si>
    <t>Trước</t>
  </si>
  <si>
    <t>Sau</t>
  </si>
  <si>
    <t>Dữ liệu minh họa (20 người dùng giả lập). Kết quả không đại diện cho nghiên cứu thực tế.</t>
  </si>
  <si>
    <t>SỐ NGƯỜI DÙNG GIẢ LẬP</t>
  </si>
  <si>
    <t>CHỈ SỐ THEO DÕI</t>
  </si>
  <si>
    <t>GIỜ NGỦ TB SAU</t>
  </si>
  <si>
    <t>CĂNG THẲNG TB SAU</t>
  </si>
  <si>
    <t>Giờ ngủ TB trước khi sử dụng (giờ/ngày)</t>
  </si>
  <si>
    <t>Giờ ngủ TB sau khi sử dụng (giờ/ngày)</t>
  </si>
  <si>
    <t>Vận động trước khi sử dụng (phút/tuần)</t>
  </si>
  <si>
    <t>Vận động sau khi sử dụng (phút/tuần)</t>
  </si>
  <si>
    <t>Nước trước khi sử dụng (lít/ngày)</t>
  </si>
  <si>
    <t>Nước sau khi sử dụng (lít/ngày)</t>
  </si>
  <si>
    <t>Bữa ăn cân bằng trước khi sử dụng (%)</t>
  </si>
  <si>
    <t>Bữa ăn cân bằng sau khi sử dụng (%)</t>
  </si>
  <si>
    <t>Căng thẳng trước khi sử dụng (1-10)</t>
  </si>
  <si>
    <t>Căng thẳng sau khi sử dụng (1-10)</t>
  </si>
  <si>
    <t>Chi tiêu không cần thiết trước khi sử dụng (nghìn/tuần)</t>
  </si>
  <si>
    <t>Chi tiêu không cần thiết sau khi sử dụng (nghìn/tuần)</t>
  </si>
  <si>
    <t>Hoàn thành kế hoạch trước khi sử dụng (%)</t>
  </si>
  <si>
    <t>Hoàn thành kế hoạch sau khi sử dụng (%)</t>
  </si>
  <si>
    <t>Chú Thích</t>
  </si>
  <si>
    <t>Thông Tin Nhóm Thực Hiện</t>
  </si>
  <si>
    <t>Tên Nhóm</t>
  </si>
  <si>
    <t>Nhóm 1 - 5 Anh 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</si>
</sst>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quot;giờ&quot;"/>
    <numFmt numFmtId="167" formatCode="0.0\ &quot;điểm&quot;"/>
  </numFmts>
  <fonts count="10" x14ac:knownFonts="1">
    <font>
      <sz val="11"/>
      <color theme="1"/>
      <name val="Calibri"/>
      <family val="2"/>
      <scheme val="minor"/>
    </font>
    <font>
      <b/>
      <sz val="10"/>
      <color rgb="FFFFFFFF"/>
      <name val="Calibri"/>
      <family val="2"/>
    </font>
    <font>
      <b/>
      <sz val="20"/>
      <color rgb="FF17365D"/>
      <name val="Calibri"/>
      <family val="2"/>
    </font>
    <font>
      <b/>
      <sz val="12"/>
      <color rgb="FFFFFFFF"/>
      <name val="Calibri"/>
      <family val="2"/>
    </font>
    <font>
      <b/>
      <sz val="16"/>
      <color rgb="FFFFFFFF"/>
      <name val="Times New Roman"/>
      <family val="1"/>
    </font>
    <font>
      <sz val="11"/>
      <color theme="1"/>
      <name val="Times New Roman"/>
      <family val="1"/>
    </font>
    <font>
      <i/>
      <sz val="11"/>
      <color rgb="FF666666"/>
      <name val="Times New Roman"/>
      <family val="1"/>
    </font>
    <font>
      <b/>
      <sz val="11"/>
      <color rgb="FFFFFFFF"/>
      <name val="Times New Roman"/>
      <family val="1"/>
    </font>
    <font>
      <b/>
      <sz val="11"/>
      <color rgb="FF17365D"/>
      <name val="Times New Roman"/>
      <family val="1"/>
    </font>
    <font>
      <b/>
      <sz val="11"/>
      <color theme="1"/>
      <name val="Times New Roman"/>
      <family val="1"/>
    </font>
  </fonts>
  <fills count="10">
    <fill>
      <patternFill patternType="none"/>
    </fill>
    <fill>
      <patternFill patternType="gray125"/>
    </fill>
    <fill>
      <patternFill patternType="solid">
        <fgColor rgb="FF17365D"/>
      </patternFill>
    </fill>
    <fill>
      <patternFill patternType="solid">
        <fgColor rgb="FF4472C4"/>
      </patternFill>
    </fill>
    <fill>
      <patternFill patternType="solid">
        <fgColor rgb="FFF2F7FC"/>
      </patternFill>
    </fill>
    <fill>
      <patternFill patternType="solid">
        <fgColor rgb="FFEAF4E3"/>
      </patternFill>
    </fill>
    <fill>
      <patternFill patternType="solid">
        <fgColor rgb="FFE2F0D9"/>
      </patternFill>
    </fill>
    <fill>
      <patternFill patternType="solid">
        <fgColor rgb="FF00A6A6"/>
      </patternFill>
    </fill>
    <fill>
      <patternFill patternType="solid">
        <fgColor rgb="FFD9EAF7"/>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2">
    <xf numFmtId="0" fontId="0" fillId="0" borderId="0" xfId="0"/>
    <xf numFmtId="164" fontId="0" fillId="0" borderId="0" xfId="0" applyNumberFormat="1"/>
    <xf numFmtId="0" fontId="1" fillId="7" borderId="0" xfId="0" applyFont="1" applyFill="1" applyAlignment="1">
      <alignment horizontal="center" vertical="center" wrapText="1"/>
    </xf>
    <xf numFmtId="0" fontId="2" fillId="8" borderId="0" xfId="0" applyFont="1" applyFill="1" applyAlignment="1">
      <alignment horizontal="center" vertical="center"/>
    </xf>
    <xf numFmtId="167" fontId="2" fillId="8" borderId="0" xfId="0" applyNumberFormat="1" applyFont="1" applyFill="1" applyAlignment="1">
      <alignment horizontal="center" vertical="center"/>
    </xf>
    <xf numFmtId="166" fontId="2" fillId="8" borderId="0" xfId="0" applyNumberFormat="1" applyFont="1" applyFill="1" applyAlignment="1">
      <alignment horizontal="center" vertical="center"/>
    </xf>
    <xf numFmtId="0" fontId="0" fillId="0" borderId="0" xfId="0" applyAlignment="1"/>
    <xf numFmtId="0" fontId="0" fillId="0" borderId="0" xfId="0" applyAlignment="1">
      <alignment horizontal="center"/>
    </xf>
    <xf numFmtId="0" fontId="4" fillId="2" borderId="0" xfId="0" applyFont="1" applyFill="1" applyAlignment="1">
      <alignment horizontal="center"/>
    </xf>
    <xf numFmtId="0" fontId="5" fillId="0" borderId="0" xfId="0" applyFont="1" applyAlignment="1">
      <alignment horizontal="center"/>
    </xf>
    <xf numFmtId="0" fontId="6" fillId="0" borderId="0" xfId="0" applyFont="1" applyAlignment="1">
      <alignment horizontal="center"/>
    </xf>
    <xf numFmtId="0" fontId="5" fillId="0" borderId="0" xfId="0" applyFont="1" applyAlignment="1">
      <alignment horizontal="center"/>
    </xf>
    <xf numFmtId="0" fontId="5" fillId="0" borderId="0" xfId="0" applyFont="1" applyAlignment="1">
      <alignment horizontal="center" vertical="center" wrapText="1"/>
    </xf>
    <xf numFmtId="0" fontId="8" fillId="9" borderId="0" xfId="0" applyFont="1" applyFill="1" applyAlignment="1">
      <alignment horizontal="center" vertical="center"/>
    </xf>
    <xf numFmtId="0" fontId="8" fillId="9" borderId="0" xfId="0" applyFont="1" applyFill="1" applyBorder="1" applyAlignment="1">
      <alignment horizontal="center" vertical="center"/>
    </xf>
    <xf numFmtId="0" fontId="5" fillId="0" borderId="0" xfId="0" applyFont="1" applyBorder="1" applyAlignment="1">
      <alignment horizontal="center" vertical="center" wrapText="1"/>
    </xf>
    <xf numFmtId="0" fontId="7" fillId="3" borderId="1" xfId="0" applyFont="1" applyFill="1" applyBorder="1" applyAlignment="1">
      <alignment horizontal="center" wrapText="1"/>
    </xf>
    <xf numFmtId="0" fontId="5" fillId="0" borderId="1" xfId="0" applyFont="1" applyBorder="1" applyAlignment="1">
      <alignment horizontal="center" wrapText="1"/>
    </xf>
    <xf numFmtId="164" fontId="5" fillId="0" borderId="1" xfId="0" applyNumberFormat="1" applyFont="1" applyBorder="1" applyAlignment="1">
      <alignment horizontal="center" wrapText="1"/>
    </xf>
    <xf numFmtId="165" fontId="5" fillId="0" borderId="1" xfId="0" applyNumberFormat="1" applyFont="1" applyBorder="1" applyAlignment="1">
      <alignment horizontal="center" wrapText="1"/>
    </xf>
    <xf numFmtId="0" fontId="5" fillId="6" borderId="1" xfId="0" applyFont="1" applyFill="1" applyBorder="1" applyAlignment="1">
      <alignment horizontal="center" wrapText="1"/>
    </xf>
    <xf numFmtId="0" fontId="3" fillId="0" borderId="0" xfId="0" applyFont="1" applyFill="1" applyAlignment="1"/>
    <xf numFmtId="0" fontId="0" fillId="0" borderId="0" xfId="0" applyFill="1" applyAlignment="1">
      <alignment horizontal="center" vertical="center" wrapText="1"/>
    </xf>
    <xf numFmtId="0" fontId="0" fillId="0" borderId="0" xfId="0" applyAlignment="1">
      <alignment horizontal="center" vertical="center"/>
    </xf>
    <xf numFmtId="0" fontId="5" fillId="0" borderId="0" xfId="0" applyFont="1"/>
    <xf numFmtId="0" fontId="4" fillId="2" borderId="0" xfId="0" applyFont="1" applyFill="1" applyAlignment="1">
      <alignment horizontal="center" vertical="center"/>
    </xf>
    <xf numFmtId="0" fontId="5" fillId="0" borderId="1" xfId="0" applyFont="1" applyBorder="1" applyAlignment="1">
      <alignment horizontal="center" vertical="center"/>
    </xf>
    <xf numFmtId="0" fontId="5" fillId="4"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0" borderId="0" xfId="0" applyFont="1" applyBorder="1" applyAlignment="1">
      <alignment horizontal="center" vertical="center"/>
    </xf>
    <xf numFmtId="0" fontId="4" fillId="2" borderId="0" xfId="0" applyFont="1" applyFill="1" applyBorder="1" applyAlignment="1">
      <alignment horizontal="center" vertical="center"/>
    </xf>
    <xf numFmtId="0" fontId="5" fillId="0" borderId="0" xfId="0" applyFont="1" applyBorder="1" applyAlignment="1">
      <alignment horizontal="center" vertical="center"/>
    </xf>
    <xf numFmtId="0" fontId="7" fillId="3" borderId="1" xfId="0" applyFont="1" applyFill="1" applyBorder="1" applyAlignment="1">
      <alignment horizontal="center" vertical="center" wrapText="1"/>
    </xf>
    <xf numFmtId="0" fontId="8" fillId="0" borderId="1" xfId="0" applyFont="1" applyBorder="1" applyAlignment="1">
      <alignment horizontal="center" vertical="center"/>
    </xf>
    <xf numFmtId="0" fontId="5" fillId="0" borderId="1" xfId="0" applyFont="1" applyBorder="1" applyAlignment="1">
      <alignment horizontal="center" vertical="center" wrapTex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4" fillId="2" borderId="4" xfId="0" applyFont="1" applyFill="1" applyBorder="1" applyAlignment="1">
      <alignment horizontal="center" vertical="center"/>
    </xf>
    <xf numFmtId="0" fontId="9" fillId="0" borderId="0" xfId="0" applyFont="1" applyBorder="1" applyAlignment="1">
      <alignment vertical="center"/>
    </xf>
    <xf numFmtId="0" fontId="9"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vi-VN"/>
              <a:t>So sánh trung bình trước và sau</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VN"/>
        </a:p>
      </c:txPr>
    </c:title>
    <c:autoTitleDeleted val="0"/>
    <c:plotArea>
      <c:layout>
        <c:manualLayout>
          <c:layoutTarget val="inner"/>
          <c:xMode val="edge"/>
          <c:yMode val="edge"/>
          <c:x val="1.6490299938134816E-2"/>
          <c:y val="1.7503216172902833E-2"/>
          <c:w val="0.98350972083403687"/>
          <c:h val="0.98249686279412995"/>
        </c:manualLayout>
      </c:layout>
      <c:barChart>
        <c:barDir val="bar"/>
        <c:grouping val="clustered"/>
        <c:varyColors val="1"/>
        <c:ser>
          <c:idx val="0"/>
          <c:order val="0"/>
          <c:tx>
            <c:strRef>
              <c:f>Thong_ke!$C$4</c:f>
              <c:strCache>
                <c:ptCount val="1"/>
                <c:pt idx="0">
                  <c:v>Trung bình trước</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VN"/>
              </a:p>
            </c:txPr>
            <c:dLblPos val="inEnd"/>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Thong_ke!$A$5:$A$11</c:f>
              <c:strCache>
                <c:ptCount val="7"/>
                <c:pt idx="0">
                  <c:v>Thời lượng ngủ</c:v>
                </c:pt>
                <c:pt idx="1">
                  <c:v>Vận động thể chất</c:v>
                </c:pt>
                <c:pt idx="2">
                  <c:v>Lượng nước uống</c:v>
                </c:pt>
                <c:pt idx="3">
                  <c:v>Bữa ăn cân bằng</c:v>
                </c:pt>
                <c:pt idx="4">
                  <c:v>Mức độ căng thẳng</c:v>
                </c:pt>
                <c:pt idx="5">
                  <c:v>Chi tiêu không cần thiết</c:v>
                </c:pt>
                <c:pt idx="6">
                  <c:v>Hoàn thành kế hoạch</c:v>
                </c:pt>
              </c:strCache>
            </c:strRef>
          </c:cat>
          <c:val>
            <c:numRef>
              <c:f>Thong_ke!$C$5:$C$11</c:f>
              <c:numCache>
                <c:formatCode>0.0</c:formatCode>
                <c:ptCount val="7"/>
                <c:pt idx="0">
                  <c:v>6.14</c:v>
                </c:pt>
                <c:pt idx="1">
                  <c:v>58</c:v>
                </c:pt>
                <c:pt idx="2">
                  <c:v>1.3099999999999998</c:v>
                </c:pt>
                <c:pt idx="3">
                  <c:v>42.8</c:v>
                </c:pt>
                <c:pt idx="4">
                  <c:v>7</c:v>
                </c:pt>
                <c:pt idx="5">
                  <c:v>399.75</c:v>
                </c:pt>
                <c:pt idx="6">
                  <c:v>42.45</c:v>
                </c:pt>
              </c:numCache>
            </c:numRef>
          </c:val>
          <c:extLst>
            <c:ext xmlns:c16="http://schemas.microsoft.com/office/drawing/2014/chart" uri="{C3380CC4-5D6E-409C-BE32-E72D297353CC}">
              <c16:uniqueId val="{00000000-18F2-1B4B-AFC0-7241E5BAEE55}"/>
            </c:ext>
          </c:extLst>
        </c:ser>
        <c:ser>
          <c:idx val="1"/>
          <c:order val="1"/>
          <c:tx>
            <c:strRef>
              <c:f>Thong_ke!$D$4</c:f>
              <c:strCache>
                <c:ptCount val="1"/>
                <c:pt idx="0">
                  <c:v>Trung bình sau</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VN"/>
              </a:p>
            </c:txPr>
            <c:dLblPos val="inEnd"/>
            <c:showLegendKey val="1"/>
            <c:showVal val="1"/>
            <c:showCatName val="1"/>
            <c:showSerName val="1"/>
            <c:showPercent val="1"/>
            <c:showBubbleSize val="1"/>
            <c:showLeaderLines val="0"/>
            <c:extLst>
              <c:ext xmlns:c15="http://schemas.microsoft.com/office/drawing/2012/chart" uri="{CE6537A1-D6FC-4f65-9D91-7224C49458BB}">
                <c15:showLeaderLines val="0"/>
              </c:ext>
            </c:extLst>
          </c:dLbls>
          <c:cat>
            <c:strRef>
              <c:f>Thong_ke!$A$5:$A$11</c:f>
              <c:strCache>
                <c:ptCount val="7"/>
                <c:pt idx="0">
                  <c:v>Thời lượng ngủ</c:v>
                </c:pt>
                <c:pt idx="1">
                  <c:v>Vận động thể chất</c:v>
                </c:pt>
                <c:pt idx="2">
                  <c:v>Lượng nước uống</c:v>
                </c:pt>
                <c:pt idx="3">
                  <c:v>Bữa ăn cân bằng</c:v>
                </c:pt>
                <c:pt idx="4">
                  <c:v>Mức độ căng thẳng</c:v>
                </c:pt>
                <c:pt idx="5">
                  <c:v>Chi tiêu không cần thiết</c:v>
                </c:pt>
                <c:pt idx="6">
                  <c:v>Hoàn thành kế hoạch</c:v>
                </c:pt>
              </c:strCache>
            </c:strRef>
          </c:cat>
          <c:val>
            <c:numRef>
              <c:f>Thong_ke!$D$5:$D$11</c:f>
              <c:numCache>
                <c:formatCode>0.0</c:formatCode>
                <c:ptCount val="7"/>
                <c:pt idx="0">
                  <c:v>6.9949999999999992</c:v>
                </c:pt>
                <c:pt idx="1">
                  <c:v>110.1</c:v>
                </c:pt>
                <c:pt idx="2">
                  <c:v>1.7900000000000003</c:v>
                </c:pt>
                <c:pt idx="3">
                  <c:v>61.9</c:v>
                </c:pt>
                <c:pt idx="4">
                  <c:v>4.75</c:v>
                </c:pt>
                <c:pt idx="5">
                  <c:v>296.64999999999998</c:v>
                </c:pt>
                <c:pt idx="6">
                  <c:v>65.150000000000006</c:v>
                </c:pt>
              </c:numCache>
            </c:numRef>
          </c:val>
          <c:extLst>
            <c:ext xmlns:c16="http://schemas.microsoft.com/office/drawing/2014/chart" uri="{C3380CC4-5D6E-409C-BE32-E72D297353CC}">
              <c16:uniqueId val="{00000001-18F2-1B4B-AFC0-7241E5BAEE55}"/>
            </c:ext>
          </c:extLst>
        </c:ser>
        <c:dLbls>
          <c:dLblPos val="inEnd"/>
          <c:showLegendKey val="1"/>
          <c:showVal val="1"/>
          <c:showCatName val="1"/>
          <c:showSerName val="1"/>
          <c:showPercent val="1"/>
          <c:showBubbleSize val="1"/>
        </c:dLbls>
        <c:gapWidth val="100"/>
        <c:axId val="10"/>
        <c:axId val="100"/>
      </c:barChart>
      <c:catAx>
        <c:axId val="1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Giá trị trung bình</a:t>
                </a:r>
              </a:p>
            </c:rich>
          </c:tx>
          <c:layout>
            <c:manualLayout>
              <c:xMode val="edge"/>
              <c:yMode val="edge"/>
              <c:x val="3.5415430285001938E-3"/>
              <c:y val="0.43861708967204754"/>
            </c:manualLayout>
          </c:layout>
          <c:overlay val="1"/>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VN"/>
          </a:p>
        </c:txPr>
        <c:crossAx val="100"/>
        <c:crosses val="autoZero"/>
        <c:auto val="1"/>
        <c:lblAlgn val="ctr"/>
        <c:lblOffset val="100"/>
        <c:noMultiLvlLbl val="1"/>
      </c:catAx>
      <c:valAx>
        <c:axId val="100"/>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Chỉ số</a:t>
                </a:r>
              </a:p>
            </c:rich>
          </c:tx>
          <c:overlay val="1"/>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V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VN"/>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VN"/>
        </a:p>
      </c:txPr>
    </c:legend>
    <c:plotVisOnly val="1"/>
    <c:dispBlanksAs val="gap"/>
    <c:showDLblsOverMax val="1"/>
  </c:chart>
  <c:spPr>
    <a:solidFill>
      <a:schemeClr val="bg1"/>
    </a:solidFill>
    <a:ln w="9525" cap="flat" cmpd="sng" algn="ctr">
      <a:solidFill>
        <a:schemeClr val="tx2">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33853</xdr:colOff>
      <xdr:row>6</xdr:row>
      <xdr:rowOff>5603</xdr:rowOff>
    </xdr:from>
    <xdr:ext cx="9097447" cy="8630397"/>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22"/>
  <sheetViews>
    <sheetView tabSelected="1" zoomScale="131" workbookViewId="0">
      <selection activeCell="A6" sqref="A6"/>
    </sheetView>
  </sheetViews>
  <sheetFormatPr baseColWidth="10" defaultColWidth="8.83203125" defaultRowHeight="15" x14ac:dyDescent="0.2"/>
  <cols>
    <col min="1" max="1" width="27" customWidth="1"/>
    <col min="2" max="2" width="88" customWidth="1"/>
    <col min="3" max="6" width="14" customWidth="1"/>
  </cols>
  <sheetData>
    <row r="1" spans="1:6" ht="30" customHeight="1" x14ac:dyDescent="0.2">
      <c r="A1" s="39" t="s">
        <v>0</v>
      </c>
      <c r="B1" s="39"/>
      <c r="C1" s="6"/>
      <c r="D1" s="6"/>
      <c r="E1" s="6"/>
      <c r="F1" s="6"/>
    </row>
    <row r="2" spans="1:6" x14ac:dyDescent="0.2">
      <c r="A2" s="40"/>
      <c r="B2" s="41" t="s">
        <v>101</v>
      </c>
    </row>
    <row r="3" spans="1:6" x14ac:dyDescent="0.2">
      <c r="A3" s="33" t="s">
        <v>102</v>
      </c>
      <c r="B3" s="26" t="s">
        <v>103</v>
      </c>
    </row>
    <row r="4" spans="1:6" x14ac:dyDescent="0.2">
      <c r="A4" s="33" t="s">
        <v>1</v>
      </c>
      <c r="B4" s="26" t="s">
        <v>2</v>
      </c>
    </row>
    <row r="5" spans="1:6" x14ac:dyDescent="0.2">
      <c r="A5" s="40"/>
      <c r="B5" s="41" t="s">
        <v>100</v>
      </c>
    </row>
    <row r="6" spans="1:6" ht="30" customHeight="1" x14ac:dyDescent="0.2">
      <c r="A6" s="26" t="s">
        <v>3</v>
      </c>
      <c r="B6" s="26" t="s">
        <v>4</v>
      </c>
    </row>
    <row r="7" spans="1:6" ht="30" customHeight="1" x14ac:dyDescent="0.2">
      <c r="A7" s="33" t="s">
        <v>5</v>
      </c>
      <c r="B7" s="34" t="s">
        <v>6</v>
      </c>
    </row>
    <row r="8" spans="1:6" ht="30" customHeight="1" x14ac:dyDescent="0.2">
      <c r="A8" s="33" t="s">
        <v>7</v>
      </c>
      <c r="B8" s="34" t="s">
        <v>8</v>
      </c>
    </row>
    <row r="9" spans="1:6" ht="30" customHeight="1" x14ac:dyDescent="0.2">
      <c r="A9" s="33" t="s">
        <v>9</v>
      </c>
      <c r="B9" s="34" t="s">
        <v>10</v>
      </c>
    </row>
    <row r="10" spans="1:6" ht="30" customHeight="1" x14ac:dyDescent="0.2">
      <c r="A10" s="33" t="s">
        <v>11</v>
      </c>
      <c r="B10" s="34" t="s">
        <v>12</v>
      </c>
    </row>
    <row r="11" spans="1:6" ht="30" customHeight="1" x14ac:dyDescent="0.2">
      <c r="A11" s="33" t="s">
        <v>13</v>
      </c>
      <c r="B11" s="34" t="s">
        <v>14</v>
      </c>
    </row>
    <row r="12" spans="1:6" ht="30" customHeight="1" x14ac:dyDescent="0.2">
      <c r="A12" s="29"/>
      <c r="B12" s="29"/>
    </row>
    <row r="13" spans="1:6" ht="29" customHeight="1" x14ac:dyDescent="0.2">
      <c r="A13" s="29"/>
      <c r="B13" s="29"/>
    </row>
    <row r="14" spans="1:6" x14ac:dyDescent="0.2">
      <c r="A14" s="35" t="s">
        <v>15</v>
      </c>
      <c r="B14" s="36"/>
    </row>
    <row r="15" spans="1:6" x14ac:dyDescent="0.2">
      <c r="A15" s="37" t="s">
        <v>16</v>
      </c>
      <c r="B15" s="38"/>
    </row>
    <row r="16" spans="1:6" ht="16" customHeight="1" x14ac:dyDescent="0.2">
      <c r="A16" s="37" t="s">
        <v>17</v>
      </c>
      <c r="B16" s="38"/>
      <c r="C16" s="6"/>
      <c r="D16" s="6"/>
      <c r="E16" s="6"/>
      <c r="F16" s="6"/>
    </row>
    <row r="17" spans="1:6" ht="15" customHeight="1" x14ac:dyDescent="0.2">
      <c r="A17" s="37" t="s">
        <v>18</v>
      </c>
      <c r="B17" s="38"/>
      <c r="C17" s="6"/>
      <c r="D17" s="6"/>
      <c r="E17" s="6"/>
      <c r="F17" s="6"/>
    </row>
    <row r="18" spans="1:6" ht="15" customHeight="1" x14ac:dyDescent="0.2">
      <c r="A18" s="37" t="s">
        <v>19</v>
      </c>
      <c r="B18" s="38"/>
      <c r="C18" s="6"/>
      <c r="D18" s="6"/>
      <c r="E18" s="6"/>
      <c r="F18" s="6"/>
    </row>
    <row r="19" spans="1:6" ht="15" customHeight="1" x14ac:dyDescent="0.2">
      <c r="A19" s="37" t="s">
        <v>20</v>
      </c>
      <c r="B19" s="38"/>
      <c r="C19" s="6"/>
      <c r="D19" s="6"/>
      <c r="E19" s="6"/>
      <c r="F19" s="6"/>
    </row>
    <row r="20" spans="1:6" ht="14" customHeight="1" x14ac:dyDescent="0.2">
      <c r="A20" s="37" t="s">
        <v>21</v>
      </c>
      <c r="B20" s="38"/>
      <c r="C20" s="6"/>
      <c r="D20" s="6"/>
      <c r="E20" s="6"/>
      <c r="F20" s="6"/>
    </row>
    <row r="21" spans="1:6" ht="14" customHeight="1" x14ac:dyDescent="0.2">
      <c r="A21" s="37" t="s">
        <v>22</v>
      </c>
      <c r="B21" s="38"/>
      <c r="C21" s="6"/>
      <c r="D21" s="6"/>
      <c r="E21" s="6"/>
      <c r="F21" s="6"/>
    </row>
    <row r="22" spans="1:6" ht="14" customHeight="1" x14ac:dyDescent="0.2">
      <c r="C22" s="6"/>
      <c r="D22" s="6"/>
      <c r="E22" s="6"/>
      <c r="F22" s="6"/>
    </row>
  </sheetData>
  <mergeCells count="9">
    <mergeCell ref="A21:B21"/>
    <mergeCell ref="A14:B14"/>
    <mergeCell ref="A1:B1"/>
    <mergeCell ref="A15:B15"/>
    <mergeCell ref="A16:B16"/>
    <mergeCell ref="A17:B17"/>
    <mergeCell ref="A18:B18"/>
    <mergeCell ref="A19:B19"/>
    <mergeCell ref="A20:B20"/>
  </mergeCells>
  <pageMargins left="0.25" right="0.25" top="1" bottom="1" header="0.5" footer="0.5"/>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23"/>
  <sheetViews>
    <sheetView showGridLines="0" zoomScale="85" workbookViewId="0">
      <pane xSplit="1" ySplit="3" topLeftCell="B4" activePane="bottomRight" state="frozen"/>
      <selection pane="topRight"/>
      <selection pane="bottomLeft"/>
      <selection pane="bottomRight" activeCell="Q3" sqref="Q3"/>
    </sheetView>
  </sheetViews>
  <sheetFormatPr baseColWidth="10" defaultColWidth="8.83203125" defaultRowHeight="14" x14ac:dyDescent="0.15"/>
  <cols>
    <col min="1" max="1" width="15" style="24" customWidth="1"/>
    <col min="2" max="3" width="18" style="24" customWidth="1"/>
    <col min="4" max="5" width="19" style="24" customWidth="1"/>
    <col min="6" max="7" width="15" style="24" customWidth="1"/>
    <col min="8" max="9" width="20" style="24" customWidth="1"/>
    <col min="10" max="11" width="18" style="24" customWidth="1"/>
    <col min="12" max="13" width="26" style="24" customWidth="1"/>
    <col min="14" max="16" width="22" style="24" customWidth="1"/>
    <col min="17" max="17" width="16" style="24" customWidth="1"/>
    <col min="18" max="16384" width="8.83203125" style="24"/>
  </cols>
  <sheetData>
    <row r="1" spans="1:17" ht="30" customHeight="1" x14ac:dyDescent="0.15">
      <c r="A1" s="30" t="s">
        <v>23</v>
      </c>
      <c r="B1" s="31"/>
      <c r="C1" s="31"/>
      <c r="D1" s="31"/>
      <c r="E1" s="31"/>
      <c r="F1" s="31"/>
      <c r="G1" s="31"/>
      <c r="H1" s="31"/>
      <c r="I1" s="31"/>
      <c r="J1" s="31"/>
      <c r="K1" s="31"/>
      <c r="L1" s="31"/>
      <c r="M1" s="31"/>
      <c r="N1" s="31"/>
      <c r="O1" s="31"/>
      <c r="P1" s="31"/>
      <c r="Q1" s="31"/>
    </row>
    <row r="2" spans="1:17" x14ac:dyDescent="0.15">
      <c r="A2" s="29"/>
      <c r="B2" s="29"/>
      <c r="C2" s="29"/>
      <c r="D2" s="29"/>
      <c r="E2" s="29"/>
      <c r="F2" s="29"/>
      <c r="G2" s="29"/>
      <c r="H2" s="29"/>
      <c r="I2" s="29"/>
      <c r="J2" s="29"/>
      <c r="K2" s="29"/>
      <c r="L2" s="29"/>
      <c r="M2" s="29"/>
      <c r="N2" s="29"/>
      <c r="O2" s="29"/>
      <c r="P2" s="29"/>
      <c r="Q2" s="29"/>
    </row>
    <row r="3" spans="1:17" ht="55" customHeight="1" x14ac:dyDescent="0.15">
      <c r="A3" s="32" t="s">
        <v>24</v>
      </c>
      <c r="B3" s="32" t="s">
        <v>86</v>
      </c>
      <c r="C3" s="32" t="s">
        <v>87</v>
      </c>
      <c r="D3" s="32" t="s">
        <v>88</v>
      </c>
      <c r="E3" s="32" t="s">
        <v>89</v>
      </c>
      <c r="F3" s="32" t="s">
        <v>90</v>
      </c>
      <c r="G3" s="32" t="s">
        <v>91</v>
      </c>
      <c r="H3" s="32" t="s">
        <v>92</v>
      </c>
      <c r="I3" s="32" t="s">
        <v>93</v>
      </c>
      <c r="J3" s="32" t="s">
        <v>94</v>
      </c>
      <c r="K3" s="32" t="s">
        <v>95</v>
      </c>
      <c r="L3" s="32" t="s">
        <v>96</v>
      </c>
      <c r="M3" s="32" t="s">
        <v>97</v>
      </c>
      <c r="N3" s="32" t="s">
        <v>98</v>
      </c>
      <c r="O3" s="32" t="s">
        <v>99</v>
      </c>
      <c r="P3" s="32" t="s">
        <v>25</v>
      </c>
      <c r="Q3" s="32" t="s">
        <v>26</v>
      </c>
    </row>
    <row r="4" spans="1:17" x14ac:dyDescent="0.15">
      <c r="A4" s="26" t="s">
        <v>27</v>
      </c>
      <c r="B4" s="27">
        <v>6.4</v>
      </c>
      <c r="C4" s="28">
        <v>6.8</v>
      </c>
      <c r="D4" s="27">
        <v>55</v>
      </c>
      <c r="E4" s="28">
        <v>95</v>
      </c>
      <c r="F4" s="27">
        <v>1</v>
      </c>
      <c r="G4" s="28">
        <v>1.6</v>
      </c>
      <c r="H4" s="27">
        <v>59</v>
      </c>
      <c r="I4" s="28">
        <v>71</v>
      </c>
      <c r="J4" s="27">
        <v>9</v>
      </c>
      <c r="K4" s="28">
        <v>7</v>
      </c>
      <c r="L4" s="27">
        <v>196</v>
      </c>
      <c r="M4" s="28">
        <v>149</v>
      </c>
      <c r="N4" s="27">
        <v>32</v>
      </c>
      <c r="O4" s="28">
        <v>50</v>
      </c>
      <c r="P4" s="26" t="s">
        <v>28</v>
      </c>
      <c r="Q4" s="26" t="s">
        <v>29</v>
      </c>
    </row>
    <row r="5" spans="1:17" x14ac:dyDescent="0.15">
      <c r="A5" s="26" t="s">
        <v>30</v>
      </c>
      <c r="B5" s="27">
        <v>5.6</v>
      </c>
      <c r="C5" s="28">
        <v>6.5</v>
      </c>
      <c r="D5" s="27">
        <v>91</v>
      </c>
      <c r="E5" s="28">
        <v>128</v>
      </c>
      <c r="F5" s="27">
        <v>1.5</v>
      </c>
      <c r="G5" s="28">
        <v>2.1</v>
      </c>
      <c r="H5" s="27">
        <v>51</v>
      </c>
      <c r="I5" s="28">
        <v>68</v>
      </c>
      <c r="J5" s="27">
        <v>8</v>
      </c>
      <c r="K5" s="28">
        <v>5</v>
      </c>
      <c r="L5" s="27">
        <v>322</v>
      </c>
      <c r="M5" s="28">
        <v>281</v>
      </c>
      <c r="N5" s="27">
        <v>54</v>
      </c>
      <c r="O5" s="28">
        <v>71</v>
      </c>
      <c r="P5" s="26" t="s">
        <v>28</v>
      </c>
      <c r="Q5" s="26" t="s">
        <v>29</v>
      </c>
    </row>
    <row r="6" spans="1:17" x14ac:dyDescent="0.15">
      <c r="A6" s="26" t="s">
        <v>31</v>
      </c>
      <c r="B6" s="27">
        <v>6.5</v>
      </c>
      <c r="C6" s="28">
        <v>7.2</v>
      </c>
      <c r="D6" s="27">
        <v>39</v>
      </c>
      <c r="E6" s="28">
        <v>77</v>
      </c>
      <c r="F6" s="27">
        <v>1.8</v>
      </c>
      <c r="G6" s="28">
        <v>2.2000000000000002</v>
      </c>
      <c r="H6" s="27">
        <v>30</v>
      </c>
      <c r="I6" s="28">
        <v>52</v>
      </c>
      <c r="J6" s="27">
        <v>5</v>
      </c>
      <c r="K6" s="28">
        <v>3</v>
      </c>
      <c r="L6" s="27">
        <v>613</v>
      </c>
      <c r="M6" s="28">
        <v>485</v>
      </c>
      <c r="N6" s="27">
        <v>49</v>
      </c>
      <c r="O6" s="28">
        <v>69</v>
      </c>
      <c r="P6" s="26" t="s">
        <v>28</v>
      </c>
      <c r="Q6" s="26" t="s">
        <v>29</v>
      </c>
    </row>
    <row r="7" spans="1:17" x14ac:dyDescent="0.15">
      <c r="A7" s="26" t="s">
        <v>32</v>
      </c>
      <c r="B7" s="27">
        <v>6.7</v>
      </c>
      <c r="C7" s="28">
        <v>7.8</v>
      </c>
      <c r="D7" s="27">
        <v>88</v>
      </c>
      <c r="E7" s="28">
        <v>120</v>
      </c>
      <c r="F7" s="27">
        <v>1.8</v>
      </c>
      <c r="G7" s="28">
        <v>2.2000000000000002</v>
      </c>
      <c r="H7" s="27">
        <v>60</v>
      </c>
      <c r="I7" s="28">
        <v>79</v>
      </c>
      <c r="J7" s="27">
        <v>9</v>
      </c>
      <c r="K7" s="28">
        <v>7</v>
      </c>
      <c r="L7" s="27">
        <v>475</v>
      </c>
      <c r="M7" s="28">
        <v>386</v>
      </c>
      <c r="N7" s="27">
        <v>52</v>
      </c>
      <c r="O7" s="28">
        <v>66</v>
      </c>
      <c r="P7" s="26" t="s">
        <v>28</v>
      </c>
      <c r="Q7" s="26" t="s">
        <v>29</v>
      </c>
    </row>
    <row r="8" spans="1:17" x14ac:dyDescent="0.15">
      <c r="A8" s="26" t="s">
        <v>33</v>
      </c>
      <c r="B8" s="27">
        <v>5.3</v>
      </c>
      <c r="C8" s="28">
        <v>5.9</v>
      </c>
      <c r="D8" s="27">
        <v>57</v>
      </c>
      <c r="E8" s="28">
        <v>87</v>
      </c>
      <c r="F8" s="27">
        <v>1.7</v>
      </c>
      <c r="G8" s="28">
        <v>2.2999999999999998</v>
      </c>
      <c r="H8" s="27">
        <v>49</v>
      </c>
      <c r="I8" s="28">
        <v>67</v>
      </c>
      <c r="J8" s="27">
        <v>8</v>
      </c>
      <c r="K8" s="28">
        <v>5</v>
      </c>
      <c r="L8" s="27">
        <v>607</v>
      </c>
      <c r="M8" s="28">
        <v>474</v>
      </c>
      <c r="N8" s="27">
        <v>35</v>
      </c>
      <c r="O8" s="28">
        <v>58</v>
      </c>
      <c r="P8" s="26" t="s">
        <v>28</v>
      </c>
      <c r="Q8" s="26" t="s">
        <v>29</v>
      </c>
    </row>
    <row r="9" spans="1:17" x14ac:dyDescent="0.15">
      <c r="A9" s="26" t="s">
        <v>34</v>
      </c>
      <c r="B9" s="27">
        <v>5.8</v>
      </c>
      <c r="C9" s="28">
        <v>6.8</v>
      </c>
      <c r="D9" s="27">
        <v>29</v>
      </c>
      <c r="E9" s="28">
        <v>92</v>
      </c>
      <c r="F9" s="27">
        <v>1.4</v>
      </c>
      <c r="G9" s="28">
        <v>1.9</v>
      </c>
      <c r="H9" s="27">
        <v>40</v>
      </c>
      <c r="I9" s="28">
        <v>55</v>
      </c>
      <c r="J9" s="27">
        <v>8</v>
      </c>
      <c r="K9" s="28">
        <v>6</v>
      </c>
      <c r="L9" s="27">
        <v>318</v>
      </c>
      <c r="M9" s="28">
        <v>222</v>
      </c>
      <c r="N9" s="27">
        <v>51</v>
      </c>
      <c r="O9" s="28">
        <v>73</v>
      </c>
      <c r="P9" s="26" t="s">
        <v>28</v>
      </c>
      <c r="Q9" s="26" t="s">
        <v>29</v>
      </c>
    </row>
    <row r="10" spans="1:17" x14ac:dyDescent="0.15">
      <c r="A10" s="26" t="s">
        <v>35</v>
      </c>
      <c r="B10" s="27">
        <v>6.7</v>
      </c>
      <c r="C10" s="28">
        <v>7.8</v>
      </c>
      <c r="D10" s="27">
        <v>49</v>
      </c>
      <c r="E10" s="28">
        <v>126</v>
      </c>
      <c r="F10" s="27">
        <v>0.8</v>
      </c>
      <c r="G10" s="28">
        <v>1.2</v>
      </c>
      <c r="H10" s="27">
        <v>42</v>
      </c>
      <c r="I10" s="28">
        <v>54</v>
      </c>
      <c r="J10" s="27">
        <v>6</v>
      </c>
      <c r="K10" s="28">
        <v>3</v>
      </c>
      <c r="L10" s="27">
        <v>628</v>
      </c>
      <c r="M10" s="28">
        <v>508</v>
      </c>
      <c r="N10" s="27">
        <v>36</v>
      </c>
      <c r="O10" s="28">
        <v>63</v>
      </c>
      <c r="P10" s="26" t="s">
        <v>28</v>
      </c>
      <c r="Q10" s="26" t="s">
        <v>29</v>
      </c>
    </row>
    <row r="11" spans="1:17" x14ac:dyDescent="0.15">
      <c r="A11" s="26" t="s">
        <v>36</v>
      </c>
      <c r="B11" s="27">
        <v>5.9</v>
      </c>
      <c r="C11" s="28">
        <v>7.1</v>
      </c>
      <c r="D11" s="27">
        <v>78</v>
      </c>
      <c r="E11" s="28">
        <v>112</v>
      </c>
      <c r="F11" s="27">
        <v>1.1000000000000001</v>
      </c>
      <c r="G11" s="28">
        <v>1.4</v>
      </c>
      <c r="H11" s="27">
        <v>60</v>
      </c>
      <c r="I11" s="28">
        <v>87</v>
      </c>
      <c r="J11" s="27">
        <v>7</v>
      </c>
      <c r="K11" s="28">
        <v>4</v>
      </c>
      <c r="L11" s="27">
        <v>479</v>
      </c>
      <c r="M11" s="28">
        <v>330</v>
      </c>
      <c r="N11" s="27">
        <v>58</v>
      </c>
      <c r="O11" s="28">
        <v>88</v>
      </c>
      <c r="P11" s="26" t="s">
        <v>28</v>
      </c>
      <c r="Q11" s="26" t="s">
        <v>29</v>
      </c>
    </row>
    <row r="12" spans="1:17" x14ac:dyDescent="0.15">
      <c r="A12" s="26" t="s">
        <v>37</v>
      </c>
      <c r="B12" s="27">
        <v>5.9</v>
      </c>
      <c r="C12" s="28">
        <v>6.5</v>
      </c>
      <c r="D12" s="27">
        <v>37</v>
      </c>
      <c r="E12" s="28">
        <v>94</v>
      </c>
      <c r="F12" s="27">
        <v>1.3</v>
      </c>
      <c r="G12" s="28">
        <v>1.9</v>
      </c>
      <c r="H12" s="27">
        <v>32</v>
      </c>
      <c r="I12" s="28">
        <v>46</v>
      </c>
      <c r="J12" s="27">
        <v>6</v>
      </c>
      <c r="K12" s="28">
        <v>3</v>
      </c>
      <c r="L12" s="27">
        <v>396</v>
      </c>
      <c r="M12" s="28">
        <v>340</v>
      </c>
      <c r="N12" s="27">
        <v>42</v>
      </c>
      <c r="O12" s="28">
        <v>66</v>
      </c>
      <c r="P12" s="26" t="s">
        <v>28</v>
      </c>
      <c r="Q12" s="26" t="s">
        <v>29</v>
      </c>
    </row>
    <row r="13" spans="1:17" x14ac:dyDescent="0.15">
      <c r="A13" s="26" t="s">
        <v>38</v>
      </c>
      <c r="B13" s="27">
        <v>6.3</v>
      </c>
      <c r="C13" s="28">
        <v>7.1</v>
      </c>
      <c r="D13" s="27">
        <v>52</v>
      </c>
      <c r="E13" s="28">
        <v>112</v>
      </c>
      <c r="F13" s="27">
        <v>1.7</v>
      </c>
      <c r="G13" s="28">
        <v>1.9</v>
      </c>
      <c r="H13" s="27">
        <v>32</v>
      </c>
      <c r="I13" s="28">
        <v>59</v>
      </c>
      <c r="J13" s="27">
        <v>7</v>
      </c>
      <c r="K13" s="28">
        <v>4</v>
      </c>
      <c r="L13" s="27">
        <v>354</v>
      </c>
      <c r="M13" s="28">
        <v>286</v>
      </c>
      <c r="N13" s="27">
        <v>39</v>
      </c>
      <c r="O13" s="28">
        <v>64</v>
      </c>
      <c r="P13" s="26" t="s">
        <v>28</v>
      </c>
      <c r="Q13" s="26" t="s">
        <v>29</v>
      </c>
    </row>
    <row r="14" spans="1:17" x14ac:dyDescent="0.15">
      <c r="A14" s="26" t="s">
        <v>39</v>
      </c>
      <c r="B14" s="27">
        <v>5.5</v>
      </c>
      <c r="C14" s="28">
        <v>5.9</v>
      </c>
      <c r="D14" s="27">
        <v>53</v>
      </c>
      <c r="E14" s="28">
        <v>110</v>
      </c>
      <c r="F14" s="27">
        <v>1.6</v>
      </c>
      <c r="G14" s="28">
        <v>2.1</v>
      </c>
      <c r="H14" s="27">
        <v>31</v>
      </c>
      <c r="I14" s="28">
        <v>61</v>
      </c>
      <c r="J14" s="27">
        <v>7</v>
      </c>
      <c r="K14" s="28">
        <v>4</v>
      </c>
      <c r="L14" s="27">
        <v>439</v>
      </c>
      <c r="M14" s="28">
        <v>349</v>
      </c>
      <c r="N14" s="27">
        <v>34</v>
      </c>
      <c r="O14" s="28">
        <v>57</v>
      </c>
      <c r="P14" s="26" t="s">
        <v>28</v>
      </c>
      <c r="Q14" s="26" t="s">
        <v>29</v>
      </c>
    </row>
    <row r="15" spans="1:17" x14ac:dyDescent="0.15">
      <c r="A15" s="26" t="s">
        <v>40</v>
      </c>
      <c r="B15" s="27">
        <v>6.6</v>
      </c>
      <c r="C15" s="28">
        <v>7.5</v>
      </c>
      <c r="D15" s="27">
        <v>87</v>
      </c>
      <c r="E15" s="28">
        <v>112</v>
      </c>
      <c r="F15" s="27">
        <v>1.4</v>
      </c>
      <c r="G15" s="28">
        <v>1.8</v>
      </c>
      <c r="H15" s="27">
        <v>32</v>
      </c>
      <c r="I15" s="28">
        <v>53</v>
      </c>
      <c r="J15" s="27">
        <v>7</v>
      </c>
      <c r="K15" s="28">
        <v>6</v>
      </c>
      <c r="L15" s="27">
        <v>209</v>
      </c>
      <c r="M15" s="28">
        <v>108</v>
      </c>
      <c r="N15" s="27">
        <v>58</v>
      </c>
      <c r="O15" s="28">
        <v>88</v>
      </c>
      <c r="P15" s="26" t="s">
        <v>28</v>
      </c>
      <c r="Q15" s="26" t="s">
        <v>29</v>
      </c>
    </row>
    <row r="16" spans="1:17" x14ac:dyDescent="0.15">
      <c r="A16" s="26" t="s">
        <v>41</v>
      </c>
      <c r="B16" s="27">
        <v>6.9</v>
      </c>
      <c r="C16" s="28">
        <v>7.4</v>
      </c>
      <c r="D16" s="27">
        <v>82</v>
      </c>
      <c r="E16" s="28">
        <v>159</v>
      </c>
      <c r="F16" s="27">
        <v>0.9</v>
      </c>
      <c r="G16" s="28">
        <v>1.5</v>
      </c>
      <c r="H16" s="27">
        <v>33</v>
      </c>
      <c r="I16" s="28">
        <v>47</v>
      </c>
      <c r="J16" s="27">
        <v>8</v>
      </c>
      <c r="K16" s="28">
        <v>5</v>
      </c>
      <c r="L16" s="27">
        <v>264</v>
      </c>
      <c r="M16" s="28">
        <v>157</v>
      </c>
      <c r="N16" s="27">
        <v>46</v>
      </c>
      <c r="O16" s="28">
        <v>71</v>
      </c>
      <c r="P16" s="26" t="s">
        <v>28</v>
      </c>
      <c r="Q16" s="26" t="s">
        <v>29</v>
      </c>
    </row>
    <row r="17" spans="1:17" x14ac:dyDescent="0.15">
      <c r="A17" s="26" t="s">
        <v>42</v>
      </c>
      <c r="B17" s="27">
        <v>6.9</v>
      </c>
      <c r="C17" s="28">
        <v>8.1</v>
      </c>
      <c r="D17" s="27">
        <v>45</v>
      </c>
      <c r="E17" s="28">
        <v>115</v>
      </c>
      <c r="F17" s="27">
        <v>1.1000000000000001</v>
      </c>
      <c r="G17" s="28">
        <v>1.8</v>
      </c>
      <c r="H17" s="27">
        <v>48</v>
      </c>
      <c r="I17" s="28">
        <v>72</v>
      </c>
      <c r="J17" s="27">
        <v>9</v>
      </c>
      <c r="K17" s="28">
        <v>7</v>
      </c>
      <c r="L17" s="27">
        <v>241</v>
      </c>
      <c r="M17" s="28">
        <v>138</v>
      </c>
      <c r="N17" s="27">
        <v>37</v>
      </c>
      <c r="O17" s="28">
        <v>51</v>
      </c>
      <c r="P17" s="26" t="s">
        <v>28</v>
      </c>
      <c r="Q17" s="26" t="s">
        <v>29</v>
      </c>
    </row>
    <row r="18" spans="1:17" x14ac:dyDescent="0.15">
      <c r="A18" s="26" t="s">
        <v>43</v>
      </c>
      <c r="B18" s="27">
        <v>5.8</v>
      </c>
      <c r="C18" s="28">
        <v>6.7</v>
      </c>
      <c r="D18" s="27">
        <v>49</v>
      </c>
      <c r="E18" s="28">
        <v>111</v>
      </c>
      <c r="F18" s="27">
        <v>1</v>
      </c>
      <c r="G18" s="28">
        <v>1.2</v>
      </c>
      <c r="H18" s="27">
        <v>28</v>
      </c>
      <c r="I18" s="28">
        <v>45</v>
      </c>
      <c r="J18" s="27">
        <v>5</v>
      </c>
      <c r="K18" s="28">
        <v>4</v>
      </c>
      <c r="L18" s="27">
        <v>620</v>
      </c>
      <c r="M18" s="28">
        <v>496</v>
      </c>
      <c r="N18" s="27">
        <v>32</v>
      </c>
      <c r="O18" s="28">
        <v>60</v>
      </c>
      <c r="P18" s="26" t="s">
        <v>28</v>
      </c>
      <c r="Q18" s="26" t="s">
        <v>29</v>
      </c>
    </row>
    <row r="19" spans="1:17" x14ac:dyDescent="0.15">
      <c r="A19" s="26" t="s">
        <v>44</v>
      </c>
      <c r="B19" s="27">
        <v>5.6</v>
      </c>
      <c r="C19" s="28">
        <v>6.6</v>
      </c>
      <c r="D19" s="27">
        <v>47</v>
      </c>
      <c r="E19" s="28">
        <v>106</v>
      </c>
      <c r="F19" s="27">
        <v>0.9</v>
      </c>
      <c r="G19" s="28">
        <v>1.6</v>
      </c>
      <c r="H19" s="27">
        <v>55</v>
      </c>
      <c r="I19" s="28">
        <v>72</v>
      </c>
      <c r="J19" s="27">
        <v>8</v>
      </c>
      <c r="K19" s="28">
        <v>6</v>
      </c>
      <c r="L19" s="27">
        <v>277</v>
      </c>
      <c r="M19" s="28">
        <v>213</v>
      </c>
      <c r="N19" s="27">
        <v>33</v>
      </c>
      <c r="O19" s="28">
        <v>58</v>
      </c>
      <c r="P19" s="26" t="s">
        <v>28</v>
      </c>
      <c r="Q19" s="26" t="s">
        <v>29</v>
      </c>
    </row>
    <row r="20" spans="1:17" x14ac:dyDescent="0.15">
      <c r="A20" s="26" t="s">
        <v>45</v>
      </c>
      <c r="B20" s="27">
        <v>5.8</v>
      </c>
      <c r="C20" s="28">
        <v>6.6</v>
      </c>
      <c r="D20" s="27">
        <v>26</v>
      </c>
      <c r="E20" s="28">
        <v>94</v>
      </c>
      <c r="F20" s="27">
        <v>1.5</v>
      </c>
      <c r="G20" s="28">
        <v>2</v>
      </c>
      <c r="H20" s="27">
        <v>28</v>
      </c>
      <c r="I20" s="28">
        <v>50</v>
      </c>
      <c r="J20" s="27">
        <v>7</v>
      </c>
      <c r="K20" s="28">
        <v>6</v>
      </c>
      <c r="L20" s="27">
        <v>307</v>
      </c>
      <c r="M20" s="28">
        <v>218</v>
      </c>
      <c r="N20" s="27">
        <v>36</v>
      </c>
      <c r="O20" s="28">
        <v>65</v>
      </c>
      <c r="P20" s="26" t="s">
        <v>28</v>
      </c>
      <c r="Q20" s="26" t="s">
        <v>29</v>
      </c>
    </row>
    <row r="21" spans="1:17" x14ac:dyDescent="0.15">
      <c r="A21" s="26" t="s">
        <v>46</v>
      </c>
      <c r="B21" s="27">
        <v>6</v>
      </c>
      <c r="C21" s="28">
        <v>6.8</v>
      </c>
      <c r="D21" s="27">
        <v>55</v>
      </c>
      <c r="E21" s="28">
        <v>109</v>
      </c>
      <c r="F21" s="27">
        <v>1</v>
      </c>
      <c r="G21" s="28">
        <v>1.7</v>
      </c>
      <c r="H21" s="27">
        <v>53</v>
      </c>
      <c r="I21" s="28">
        <v>80</v>
      </c>
      <c r="J21" s="27">
        <v>5</v>
      </c>
      <c r="K21" s="28">
        <v>4</v>
      </c>
      <c r="L21" s="27">
        <v>513</v>
      </c>
      <c r="M21" s="28">
        <v>335</v>
      </c>
      <c r="N21" s="27">
        <v>56</v>
      </c>
      <c r="O21" s="28">
        <v>68</v>
      </c>
      <c r="P21" s="26" t="s">
        <v>28</v>
      </c>
      <c r="Q21" s="26" t="s">
        <v>29</v>
      </c>
    </row>
    <row r="22" spans="1:17" x14ac:dyDescent="0.15">
      <c r="A22" s="26" t="s">
        <v>47</v>
      </c>
      <c r="B22" s="27">
        <v>6.9</v>
      </c>
      <c r="C22" s="28">
        <v>8.1</v>
      </c>
      <c r="D22" s="27">
        <v>50</v>
      </c>
      <c r="E22" s="28">
        <v>85</v>
      </c>
      <c r="F22" s="27">
        <v>1.2</v>
      </c>
      <c r="G22" s="28">
        <v>1.6</v>
      </c>
      <c r="H22" s="27">
        <v>50</v>
      </c>
      <c r="I22" s="28">
        <v>61</v>
      </c>
      <c r="J22" s="27">
        <v>6</v>
      </c>
      <c r="K22" s="28">
        <v>4</v>
      </c>
      <c r="L22" s="27">
        <v>181</v>
      </c>
      <c r="M22" s="28">
        <v>80</v>
      </c>
      <c r="N22" s="27">
        <v>38</v>
      </c>
      <c r="O22" s="28">
        <v>64</v>
      </c>
      <c r="P22" s="26" t="s">
        <v>28</v>
      </c>
      <c r="Q22" s="26" t="s">
        <v>29</v>
      </c>
    </row>
    <row r="23" spans="1:17" x14ac:dyDescent="0.15">
      <c r="A23" s="26" t="s">
        <v>48</v>
      </c>
      <c r="B23" s="27">
        <v>5.7</v>
      </c>
      <c r="C23" s="28">
        <v>6.7</v>
      </c>
      <c r="D23" s="27">
        <v>91</v>
      </c>
      <c r="E23" s="28">
        <v>158</v>
      </c>
      <c r="F23" s="27">
        <v>1.5</v>
      </c>
      <c r="G23" s="28">
        <v>1.8</v>
      </c>
      <c r="H23" s="27">
        <v>43</v>
      </c>
      <c r="I23" s="28">
        <v>59</v>
      </c>
      <c r="J23" s="27">
        <v>5</v>
      </c>
      <c r="K23" s="28">
        <v>2</v>
      </c>
      <c r="L23" s="27">
        <v>556</v>
      </c>
      <c r="M23" s="28">
        <v>378</v>
      </c>
      <c r="N23" s="27">
        <v>31</v>
      </c>
      <c r="O23" s="28">
        <v>53</v>
      </c>
      <c r="P23" s="26" t="s">
        <v>28</v>
      </c>
      <c r="Q23" s="26" t="s">
        <v>29</v>
      </c>
    </row>
  </sheetData>
  <autoFilter ref="A3:Q23" xr:uid="{00000000-0009-0000-0000-000001000000}"/>
  <mergeCells count="1">
    <mergeCell ref="A1:Q1"/>
  </mergeCells>
  <pageMargins left="0.25" right="0.25" top="1" bottom="1" header="0.5" footer="0.5"/>
  <pageSetup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15"/>
  <sheetViews>
    <sheetView showGridLines="0" workbookViewId="0">
      <pane xSplit="2" ySplit="4" topLeftCell="C5" activePane="bottomRight" state="frozen"/>
      <selection pane="topRight"/>
      <selection pane="bottomLeft"/>
      <selection pane="bottomRight" activeCell="D11" sqref="D11"/>
    </sheetView>
  </sheetViews>
  <sheetFormatPr baseColWidth="10" defaultColWidth="8.83203125" defaultRowHeight="15" x14ac:dyDescent="0.2"/>
  <cols>
    <col min="1" max="1" width="27" customWidth="1"/>
    <col min="2" max="4" width="20" customWidth="1"/>
    <col min="5" max="5" width="25" customWidth="1"/>
    <col min="6" max="6" width="18" customWidth="1"/>
    <col min="7" max="7" width="25" customWidth="1"/>
    <col min="8" max="8" width="38" customWidth="1"/>
  </cols>
  <sheetData>
    <row r="1" spans="1:8" ht="30" customHeight="1" x14ac:dyDescent="0.2">
      <c r="A1" s="8" t="s">
        <v>49</v>
      </c>
      <c r="B1" s="9"/>
      <c r="C1" s="9"/>
      <c r="D1" s="9"/>
      <c r="E1" s="9"/>
      <c r="F1" s="9"/>
      <c r="G1" s="9"/>
      <c r="H1" s="9"/>
    </row>
    <row r="2" spans="1:8" x14ac:dyDescent="0.2">
      <c r="A2" s="10" t="s">
        <v>50</v>
      </c>
      <c r="B2" s="9"/>
      <c r="C2" s="9"/>
      <c r="D2" s="9"/>
      <c r="E2" s="9"/>
      <c r="F2" s="9"/>
      <c r="G2" s="9"/>
      <c r="H2" s="9"/>
    </row>
    <row r="3" spans="1:8" x14ac:dyDescent="0.2">
      <c r="A3" s="11"/>
      <c r="B3" s="11"/>
      <c r="C3" s="11"/>
      <c r="D3" s="11"/>
      <c r="E3" s="11"/>
      <c r="F3" s="11"/>
      <c r="G3" s="11"/>
      <c r="H3" s="11"/>
    </row>
    <row r="4" spans="1:8" ht="42" customHeight="1" x14ac:dyDescent="0.2">
      <c r="A4" s="16" t="s">
        <v>51</v>
      </c>
      <c r="B4" s="16" t="s">
        <v>52</v>
      </c>
      <c r="C4" s="16" t="s">
        <v>53</v>
      </c>
      <c r="D4" s="16" t="s">
        <v>54</v>
      </c>
      <c r="E4" s="16" t="s">
        <v>55</v>
      </c>
      <c r="F4" s="16" t="s">
        <v>56</v>
      </c>
      <c r="G4" s="16" t="s">
        <v>57</v>
      </c>
      <c r="H4" s="16" t="s">
        <v>58</v>
      </c>
    </row>
    <row r="5" spans="1:8" ht="31" customHeight="1" x14ac:dyDescent="0.2">
      <c r="A5" s="17" t="s">
        <v>59</v>
      </c>
      <c r="B5" s="17" t="s">
        <v>60</v>
      </c>
      <c r="C5" s="18">
        <f>AVERAGE(Du_lieu!B4:B23)</f>
        <v>6.14</v>
      </c>
      <c r="D5" s="18">
        <f>AVERAGE(Du_lieu!C4:C23)</f>
        <v>6.9949999999999992</v>
      </c>
      <c r="E5" s="18">
        <f t="shared" ref="E5:E11" si="0">D5-C5</f>
        <v>0.85499999999999954</v>
      </c>
      <c r="F5" s="19">
        <f t="shared" ref="F5:F11" si="1">IF(C5=0,0,(D5-C5)/ABS(C5))</f>
        <v>0.13925081433224748</v>
      </c>
      <c r="G5" s="17" t="s">
        <v>61</v>
      </c>
      <c r="H5" s="20" t="str">
        <f>IF(AND(D5&gt;=7,D5&lt;=9,D5&gt;C5),"Tiến gần khoảng ngủ tham khảo",IF(D5&gt;C5,"Tăng thời lượng ngủ","Cần xem xét"))</f>
        <v>Tăng thời lượng ngủ</v>
      </c>
    </row>
    <row r="6" spans="1:8" ht="31" customHeight="1" x14ac:dyDescent="0.2">
      <c r="A6" s="17" t="s">
        <v>62</v>
      </c>
      <c r="B6" s="17" t="s">
        <v>63</v>
      </c>
      <c r="C6" s="18">
        <f>AVERAGE(Du_lieu!D4:D23)</f>
        <v>58</v>
      </c>
      <c r="D6" s="18">
        <f>AVERAGE(Du_lieu!E4:E23)</f>
        <v>110.1</v>
      </c>
      <c r="E6" s="18">
        <f t="shared" si="0"/>
        <v>52.099999999999994</v>
      </c>
      <c r="F6" s="19">
        <f t="shared" si="1"/>
        <v>0.89827586206896537</v>
      </c>
      <c r="G6" s="17" t="s">
        <v>64</v>
      </c>
      <c r="H6" s="20" t="str">
        <f>IF(D6&gt;C6,"Cải thiện theo hướng mong muốn",IF(D6=C6,"Không đổi","Cần xem xét"))</f>
        <v>Cải thiện theo hướng mong muốn</v>
      </c>
    </row>
    <row r="7" spans="1:8" ht="31" customHeight="1" x14ac:dyDescent="0.2">
      <c r="A7" s="17" t="s">
        <v>65</v>
      </c>
      <c r="B7" s="17" t="s">
        <v>66</v>
      </c>
      <c r="C7" s="18">
        <f>AVERAGE(Du_lieu!F4:F23)</f>
        <v>1.3099999999999998</v>
      </c>
      <c r="D7" s="18">
        <f>AVERAGE(Du_lieu!G4:G23)</f>
        <v>1.7900000000000003</v>
      </c>
      <c r="E7" s="18">
        <f t="shared" si="0"/>
        <v>0.48000000000000043</v>
      </c>
      <c r="F7" s="19">
        <f t="shared" si="1"/>
        <v>0.3664122137404584</v>
      </c>
      <c r="G7" s="17" t="s">
        <v>67</v>
      </c>
      <c r="H7" s="20" t="str">
        <f>IF(D7&gt;C7,"Tăng lượng nước (cần cá nhân hóa)","Không tăng")</f>
        <v>Tăng lượng nước (cần cá nhân hóa)</v>
      </c>
    </row>
    <row r="8" spans="1:8" ht="31" customHeight="1" x14ac:dyDescent="0.2">
      <c r="A8" s="17" t="s">
        <v>68</v>
      </c>
      <c r="B8" s="17" t="s">
        <v>69</v>
      </c>
      <c r="C8" s="18">
        <f>AVERAGE(Du_lieu!H4:H23)</f>
        <v>42.8</v>
      </c>
      <c r="D8" s="18">
        <f>AVERAGE(Du_lieu!I4:I23)</f>
        <v>61.9</v>
      </c>
      <c r="E8" s="18">
        <f t="shared" si="0"/>
        <v>19.100000000000001</v>
      </c>
      <c r="F8" s="19">
        <f t="shared" si="1"/>
        <v>0.44626168224299073</v>
      </c>
      <c r="G8" s="17" t="s">
        <v>64</v>
      </c>
      <c r="H8" s="20" t="str">
        <f>IF(D8&gt;C8,"Cải thiện theo hướng mong muốn",IF(D8=C8,"Không đổi","Cần xem xét"))</f>
        <v>Cải thiện theo hướng mong muốn</v>
      </c>
    </row>
    <row r="9" spans="1:8" ht="31" customHeight="1" x14ac:dyDescent="0.2">
      <c r="A9" s="17" t="s">
        <v>70</v>
      </c>
      <c r="B9" s="17" t="s">
        <v>71</v>
      </c>
      <c r="C9" s="18">
        <f>AVERAGE(Du_lieu!J4:J23)</f>
        <v>7</v>
      </c>
      <c r="D9" s="18">
        <f>AVERAGE(Du_lieu!K4:K23)</f>
        <v>4.75</v>
      </c>
      <c r="E9" s="18">
        <f t="shared" si="0"/>
        <v>-2.25</v>
      </c>
      <c r="F9" s="19">
        <f t="shared" si="1"/>
        <v>-0.32142857142857145</v>
      </c>
      <c r="G9" s="17" t="s">
        <v>72</v>
      </c>
      <c r="H9" s="20" t="str">
        <f>IF(D9&lt;C9,"Cải thiện theo hướng mong muốn",IF(D9=C9,"Không đổi","Cần xem xét"))</f>
        <v>Cải thiện theo hướng mong muốn</v>
      </c>
    </row>
    <row r="10" spans="1:8" ht="31" customHeight="1" x14ac:dyDescent="0.2">
      <c r="A10" s="17" t="s">
        <v>73</v>
      </c>
      <c r="B10" s="17" t="s">
        <v>74</v>
      </c>
      <c r="C10" s="18">
        <f>AVERAGE(Du_lieu!L4:L23)</f>
        <v>399.75</v>
      </c>
      <c r="D10" s="18">
        <f>AVERAGE(Du_lieu!M4:M23)</f>
        <v>296.64999999999998</v>
      </c>
      <c r="E10" s="18">
        <f t="shared" si="0"/>
        <v>-103.10000000000002</v>
      </c>
      <c r="F10" s="19">
        <f t="shared" si="1"/>
        <v>-0.25791119449656041</v>
      </c>
      <c r="G10" s="17" t="s">
        <v>72</v>
      </c>
      <c r="H10" s="20" t="str">
        <f>IF(D10&lt;C10,"Cải thiện theo hướng mong muốn",IF(D10=C10,"Không đổi","Cần xem xét"))</f>
        <v>Cải thiện theo hướng mong muốn</v>
      </c>
    </row>
    <row r="11" spans="1:8" ht="31" customHeight="1" x14ac:dyDescent="0.2">
      <c r="A11" s="17" t="s">
        <v>75</v>
      </c>
      <c r="B11" s="17" t="s">
        <v>69</v>
      </c>
      <c r="C11" s="18">
        <f>AVERAGE(Du_lieu!N4:N23)</f>
        <v>42.45</v>
      </c>
      <c r="D11" s="18">
        <f>AVERAGE(Du_lieu!O4:O23)</f>
        <v>65.150000000000006</v>
      </c>
      <c r="E11" s="18">
        <f t="shared" si="0"/>
        <v>22.700000000000003</v>
      </c>
      <c r="F11" s="19">
        <f t="shared" si="1"/>
        <v>0.53474676089517081</v>
      </c>
      <c r="G11" s="17" t="s">
        <v>64</v>
      </c>
      <c r="H11" s="20" t="str">
        <f>IF(D11&gt;C11,"Cải thiện theo hướng mong muốn",IF(D11=C11,"Không đổi","Cần xem xét"))</f>
        <v>Cải thiện theo hướng mong muốn</v>
      </c>
    </row>
    <row r="12" spans="1:8" x14ac:dyDescent="0.2">
      <c r="A12" s="14" t="s">
        <v>76</v>
      </c>
      <c r="B12" s="15" t="s">
        <v>77</v>
      </c>
      <c r="C12" s="15"/>
      <c r="D12" s="15"/>
      <c r="E12" s="15"/>
      <c r="F12" s="15"/>
      <c r="G12" s="15"/>
      <c r="H12" s="15"/>
    </row>
    <row r="13" spans="1:8" x14ac:dyDescent="0.2">
      <c r="A13" s="13"/>
      <c r="B13" s="12"/>
      <c r="C13" s="12"/>
      <c r="D13" s="12"/>
      <c r="E13" s="12"/>
      <c r="F13" s="12"/>
      <c r="G13" s="12"/>
      <c r="H13" s="12"/>
    </row>
    <row r="14" spans="1:8" ht="15" customHeight="1" x14ac:dyDescent="0.2">
      <c r="A14" s="13"/>
      <c r="B14" s="12"/>
      <c r="C14" s="12"/>
      <c r="D14" s="12"/>
      <c r="E14" s="12"/>
      <c r="F14" s="12"/>
      <c r="G14" s="12"/>
      <c r="H14" s="12"/>
    </row>
    <row r="15" spans="1:8" x14ac:dyDescent="0.2">
      <c r="A15" s="13"/>
      <c r="B15" s="12"/>
      <c r="C15" s="12"/>
      <c r="D15" s="12"/>
      <c r="E15" s="12"/>
      <c r="F15" s="12"/>
      <c r="G15" s="12"/>
      <c r="H15" s="12"/>
    </row>
  </sheetData>
  <mergeCells count="4">
    <mergeCell ref="A2:H2"/>
    <mergeCell ref="A1:H1"/>
    <mergeCell ref="A12:A15"/>
    <mergeCell ref="B12:H15"/>
  </mergeCells>
  <conditionalFormatting sqref="F5:F11">
    <cfRule type="colorScale" priority="1">
      <colorScale>
        <cfvo type="min"/>
        <cfvo type="percentile" val="50"/>
        <cfvo type="max"/>
        <color rgb="FFF8696B"/>
        <color rgb="FFFFEB84"/>
        <color rgb="FF63BE7B"/>
      </colorScale>
    </cfRule>
  </conditionalFormatting>
  <pageMargins left="0.25" right="0.25" top="1" bottom="1" header="0.5" footer="0.5"/>
  <pageSetup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27"/>
  <sheetViews>
    <sheetView showGridLines="0" workbookViewId="0">
      <pane ySplit="3" topLeftCell="A27" activePane="bottomLeft" state="frozen"/>
      <selection pane="bottomLeft" sqref="A1:H2"/>
    </sheetView>
  </sheetViews>
  <sheetFormatPr baseColWidth="10" defaultColWidth="8.83203125" defaultRowHeight="15" x14ac:dyDescent="0.2"/>
  <cols>
    <col min="1" max="8" width="15" customWidth="1"/>
    <col min="10" max="12" width="13" hidden="1" customWidth="1"/>
  </cols>
  <sheetData>
    <row r="1" spans="1:12" ht="30" customHeight="1" x14ac:dyDescent="0.2">
      <c r="A1" s="25" t="s">
        <v>78</v>
      </c>
      <c r="B1" s="9"/>
      <c r="C1" s="9"/>
      <c r="D1" s="9"/>
      <c r="E1" s="9"/>
      <c r="F1" s="9"/>
      <c r="G1" s="9"/>
      <c r="H1" s="9"/>
      <c r="J1" t="s">
        <v>51</v>
      </c>
      <c r="K1" t="s">
        <v>79</v>
      </c>
      <c r="L1" t="s">
        <v>80</v>
      </c>
    </row>
    <row r="2" spans="1:12" x14ac:dyDescent="0.2">
      <c r="A2" s="10" t="s">
        <v>81</v>
      </c>
      <c r="B2" s="9"/>
      <c r="C2" s="9"/>
      <c r="D2" s="9"/>
      <c r="E2" s="9"/>
      <c r="F2" s="9"/>
      <c r="G2" s="9"/>
      <c r="H2" s="9"/>
      <c r="J2" t="s">
        <v>68</v>
      </c>
      <c r="K2" s="1">
        <f>Thong_ke!C8</f>
        <v>42.8</v>
      </c>
      <c r="L2" s="1">
        <f>Thong_ke!D8</f>
        <v>61.9</v>
      </c>
    </row>
    <row r="3" spans="1:12" x14ac:dyDescent="0.2">
      <c r="A3" s="7"/>
      <c r="B3" s="7"/>
      <c r="C3" s="7"/>
      <c r="D3" s="7"/>
      <c r="E3" s="7"/>
      <c r="F3" s="7"/>
      <c r="G3" s="7"/>
      <c r="H3" s="7"/>
      <c r="J3" t="s">
        <v>75</v>
      </c>
      <c r="K3" s="1">
        <f>Thong_ke!C11</f>
        <v>42.45</v>
      </c>
      <c r="L3" s="1">
        <f>Thong_ke!D11</f>
        <v>65.150000000000006</v>
      </c>
    </row>
    <row r="4" spans="1:12" ht="28" customHeight="1" x14ac:dyDescent="0.2">
      <c r="A4" s="2" t="s">
        <v>82</v>
      </c>
      <c r="B4" s="23"/>
      <c r="C4" s="2" t="s">
        <v>83</v>
      </c>
      <c r="D4" s="23"/>
      <c r="E4" s="2" t="s">
        <v>84</v>
      </c>
      <c r="F4" s="23"/>
      <c r="G4" s="2" t="s">
        <v>85</v>
      </c>
      <c r="H4" s="23"/>
    </row>
    <row r="5" spans="1:12" ht="30" customHeight="1" x14ac:dyDescent="0.2">
      <c r="A5" s="3">
        <f>COUNTA(Du_lieu!A4:A23)</f>
        <v>20</v>
      </c>
      <c r="B5" s="23"/>
      <c r="C5" s="3">
        <f>COUNTA(Thong_ke!A5:A11)</f>
        <v>7</v>
      </c>
      <c r="D5" s="23"/>
      <c r="E5" s="5">
        <f>Thong_ke!D5</f>
        <v>6.9949999999999992</v>
      </c>
      <c r="F5" s="23"/>
      <c r="G5" s="4">
        <f>Thong_ke!D9</f>
        <v>4.75</v>
      </c>
      <c r="H5" s="23"/>
    </row>
    <row r="6" spans="1:12" ht="20" customHeight="1" x14ac:dyDescent="0.2">
      <c r="A6" s="23"/>
      <c r="B6" s="23"/>
      <c r="C6" s="23"/>
      <c r="D6" s="23"/>
      <c r="E6" s="23"/>
      <c r="F6" s="23"/>
      <c r="G6" s="23"/>
      <c r="H6" s="23"/>
    </row>
    <row r="23" spans="1:8" ht="24" customHeight="1" x14ac:dyDescent="0.2"/>
    <row r="24" spans="1:8" ht="24" customHeight="1" x14ac:dyDescent="0.2">
      <c r="A24" s="21"/>
      <c r="B24" s="21"/>
      <c r="C24" s="21"/>
      <c r="D24" s="21"/>
      <c r="E24" s="21"/>
      <c r="F24" s="21"/>
      <c r="G24" s="21"/>
      <c r="H24" s="21"/>
    </row>
    <row r="25" spans="1:8" ht="24" customHeight="1" x14ac:dyDescent="0.2">
      <c r="A25" s="22"/>
      <c r="B25" s="22"/>
      <c r="C25" s="22"/>
      <c r="D25" s="22"/>
      <c r="E25" s="22"/>
      <c r="F25" s="22"/>
      <c r="G25" s="22"/>
      <c r="H25" s="22"/>
    </row>
    <row r="26" spans="1:8" ht="80" customHeight="1" x14ac:dyDescent="0.2">
      <c r="A26" s="22"/>
      <c r="B26" s="22"/>
      <c r="C26" s="22"/>
      <c r="D26" s="22"/>
      <c r="E26" s="22"/>
      <c r="F26" s="22"/>
      <c r="G26" s="22"/>
      <c r="H26" s="22"/>
    </row>
    <row r="27" spans="1:8" ht="96" customHeight="1" x14ac:dyDescent="0.2">
      <c r="A27" s="22"/>
      <c r="B27" s="22"/>
      <c r="C27" s="22"/>
      <c r="D27" s="22"/>
      <c r="E27" s="22"/>
      <c r="F27" s="22"/>
      <c r="G27" s="22"/>
      <c r="H27" s="22"/>
    </row>
  </sheetData>
  <mergeCells count="13">
    <mergeCell ref="A25:H25"/>
    <mergeCell ref="A26:H26"/>
    <mergeCell ref="A27:H27"/>
    <mergeCell ref="A1:H1"/>
    <mergeCell ref="C4:D4"/>
    <mergeCell ref="A2:H2"/>
    <mergeCell ref="C5:D6"/>
    <mergeCell ref="A5:B6"/>
    <mergeCell ref="G5:H6"/>
    <mergeCell ref="E5:F6"/>
    <mergeCell ref="A4:B4"/>
    <mergeCell ref="G4:H4"/>
    <mergeCell ref="E4:F4"/>
  </mergeCells>
  <pageMargins left="0.25" right="0.25" top="1" bottom="1" header="0.5" footer="0.5"/>
  <pageSetup fitToHeight="0"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Huong_dan</vt:lpstr>
      <vt:lpstr>Du_lieu</vt:lpstr>
      <vt:lpstr>Thong_ke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PHAM THANH DAO</cp:lastModifiedBy>
  <dcterms:created xsi:type="dcterms:W3CDTF">2026-10-19T01:03:26Z</dcterms:created>
  <dcterms:modified xsi:type="dcterms:W3CDTF">2026-10-19T07:14:49Z</dcterms:modified>
</cp:coreProperties>
</file>